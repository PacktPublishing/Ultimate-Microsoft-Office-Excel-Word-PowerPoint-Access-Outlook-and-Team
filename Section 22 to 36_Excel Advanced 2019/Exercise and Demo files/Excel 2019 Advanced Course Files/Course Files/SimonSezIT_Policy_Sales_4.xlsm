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G11" i="148" l="1"/>
  <c r="F11" i="148"/>
  <c r="G10" i="148"/>
  <c r="F10" i="148"/>
  <c r="I20" i="148"/>
  <c r="G20" i="148"/>
  <c r="J25" i="148"/>
  <c r="J26" i="148"/>
  <c r="J20" i="148"/>
  <c r="H20" i="148"/>
  <c r="F20" i="148"/>
  <c r="I19" i="148"/>
  <c r="G19" i="148"/>
  <c r="J22" i="148"/>
  <c r="J23" i="148"/>
  <c r="J19" i="148"/>
  <c r="H19" i="148"/>
  <c r="F19" i="148"/>
  <c r="F14" i="148"/>
  <c r="F15" i="148"/>
  <c r="F7" i="148"/>
  <c r="F6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<sst xmlns="http://schemas.openxmlformats.org/spreadsheetml/2006/main" count="26" uniqueCount="20">
  <si>
    <t xml:space="preserve">Date </t>
  </si>
  <si>
    <t>Enquiries</t>
  </si>
  <si>
    <t>Policies</t>
  </si>
  <si>
    <t>Branch Monthly Totals</t>
  </si>
  <si>
    <t>Enquiries:</t>
  </si>
  <si>
    <t>Policies:</t>
  </si>
  <si>
    <t>Median</t>
  </si>
  <si>
    <t>Mean</t>
  </si>
  <si>
    <t>Quartiles</t>
  </si>
  <si>
    <t>Q0</t>
  </si>
  <si>
    <t>Q1</t>
  </si>
  <si>
    <t>Q2</t>
  </si>
  <si>
    <t>Q3</t>
  </si>
  <si>
    <t>Q4</t>
  </si>
  <si>
    <t>Enquiries Interquartile Range (Q3-Q1):</t>
  </si>
  <si>
    <t>Enquiries Semi-Interquartile Range (Q3-Q1)/2:</t>
  </si>
  <si>
    <t>Policies Interquartile Range (Q3-Q1):</t>
  </si>
  <si>
    <t>Policies Semi-Interquartile Range (Q3-Q1)/2:</t>
  </si>
  <si>
    <t>Estimate of Population Standard Deviation</t>
  </si>
  <si>
    <t>Standard Deviation of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</si>
</sst>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5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9" fontId="2" fillId="0" borderId="0" xfId="1" applyFont="1" applyAlignment="1">
      <alignment horizontal="center"/>
    </xf>
    <xf numFmtId="0" fontId="0" fillId="0" borderId="0" xfId="0" applyFill="1" applyAlignment="1">
      <alignment horizontal="right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2" fontId="0" fillId="0" borderId="0" xfId="0" applyNumberFormat="1" applyFill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F14" sqref="F14"/>
    </sheetView>
  </sheetViews>
  <sheetFormatPr defaultColWidth="14.140625" defaultRowHeight="15" x14ac:dyDescent="0.25"/>
  <cols>
    <col min="1" max="1" width="10" style="6" customWidth="1"/>
    <col min="2" max="2" width="10.7109375" style="15" customWidth="1"/>
    <col min="3" max="3" width="10.140625" style="15" customWidth="1"/>
    <col min="4" max="4" width="6.42578125" style="3" customWidth="1"/>
    <col min="5" max="5" width="9.7109375" style="10" customWidth="1"/>
    <col min="6" max="6" width="18.140625" style="15" bestFit="1" customWidth="1"/>
    <col min="7" max="7" width="19.85546875" style="22" customWidth="1"/>
    <col min="8" max="10" width="7.7109375" style="22" customWidth="1"/>
    <col min="11" max="15" width="7.7109375" style="3" customWidth="1"/>
    <col min="16" max="16384" width="14.140625" style="3"/>
  </cols>
  <sheetData>
    <row r="1" spans="1:10" x14ac:dyDescent="0.25">
      <c r="A1" s="5"/>
      <c r="B1" s="21">
        <v>1</v>
      </c>
      <c r="C1" s="21"/>
    </row>
    <row r="2" spans="1:10" x14ac:dyDescent="0.25">
      <c r="B2" s="19" t="s">
        <v>3</v>
      </c>
      <c r="C2" s="20"/>
    </row>
    <row r="3" spans="1:10" x14ac:dyDescent="0.25">
      <c r="A3" s="7" t="s">
        <v>0</v>
      </c>
      <c r="B3" s="13" t="s">
        <v>1</v>
      </c>
      <c r="C3" s="13" t="s">
        <v>2</v>
      </c>
      <c r="D3" s="4"/>
    </row>
    <row r="4" spans="1:10" s="1" customFormat="1" x14ac:dyDescent="0.25">
      <c r="A4" s="8">
        <v>40909</v>
      </c>
      <c r="B4" s="16">
        <v>544</v>
      </c>
      <c r="C4" s="16">
        <v>114</v>
      </c>
      <c r="F4" s="26"/>
      <c r="G4" s="22"/>
      <c r="H4" s="26"/>
      <c r="I4" s="26"/>
      <c r="J4" s="26"/>
    </row>
    <row r="5" spans="1:10" s="1" customFormat="1" x14ac:dyDescent="0.25">
      <c r="A5" s="8">
        <v>40940</v>
      </c>
      <c r="B5" s="16">
        <v>552</v>
      </c>
      <c r="C5" s="16">
        <v>102</v>
      </c>
      <c r="E5" s="7"/>
      <c r="F5" s="32" t="s">
        <v>7</v>
      </c>
      <c r="G5" s="22"/>
      <c r="H5" s="26"/>
      <c r="I5" s="26"/>
      <c r="J5" s="26"/>
    </row>
    <row r="6" spans="1:10" s="1" customFormat="1" x14ac:dyDescent="0.25">
      <c r="A6" s="8">
        <v>40969</v>
      </c>
      <c r="B6" s="16">
        <v>572</v>
      </c>
      <c r="C6" s="16">
        <v>140</v>
      </c>
      <c r="E6" s="7" t="s">
        <v>4</v>
      </c>
      <c r="F6" s="17">
        <f>AVERAGE(BranchEnquiries)</f>
        <v>557.64583333333337</v>
      </c>
    </row>
    <row r="7" spans="1:10" s="1" customFormat="1" x14ac:dyDescent="0.25">
      <c r="A7" s="8">
        <v>41000</v>
      </c>
      <c r="B7" s="23">
        <v>593</v>
      </c>
      <c r="C7" s="16">
        <v>150</v>
      </c>
      <c r="E7" s="7" t="s">
        <v>5</v>
      </c>
      <c r="F7" s="17">
        <f>AVERAGE(BranchPolicies)</f>
        <v>114.0625</v>
      </c>
    </row>
    <row r="8" spans="1:10" s="1" customFormat="1" x14ac:dyDescent="0.25">
      <c r="A8" s="8">
        <v>41030</v>
      </c>
      <c r="B8" s="23">
        <v>585</v>
      </c>
      <c r="C8" s="16">
        <v>139</v>
      </c>
    </row>
    <row r="9" spans="1:10" s="14" customFormat="1" ht="45" x14ac:dyDescent="0.25">
      <c r="A9" s="8">
        <v>41061</v>
      </c>
      <c r="B9" s="23">
        <v>618</v>
      </c>
      <c r="C9" s="16">
        <v>189</v>
      </c>
      <c r="E9" s="7"/>
      <c r="F9" s="33" t="s">
        <v>19</v>
      </c>
      <c r="G9" s="33" t="s">
        <v>18</v>
      </c>
    </row>
    <row r="10" spans="1:10" s="1" customFormat="1" x14ac:dyDescent="0.25">
      <c r="A10" s="8">
        <v>41091</v>
      </c>
      <c r="B10" s="23">
        <v>662</v>
      </c>
      <c r="C10" s="16">
        <v>174</v>
      </c>
      <c r="E10" s="7" t="s">
        <v>4</v>
      </c>
      <c r="F10" s="34">
        <f>_xlfn.STDEV.P(BranchEnquiries)</f>
        <v>67.740463530341714</v>
      </c>
      <c r="G10" s="34">
        <f>_xlfn.STDEV.S(BranchEnquiries)</f>
        <v>68.457313795216393</v>
      </c>
    </row>
    <row r="11" spans="1:10" s="1" customFormat="1" x14ac:dyDescent="0.25">
      <c r="A11" s="8">
        <v>41122</v>
      </c>
      <c r="B11" s="23">
        <v>660</v>
      </c>
      <c r="C11" s="16">
        <v>182</v>
      </c>
      <c r="E11" s="7" t="s">
        <v>5</v>
      </c>
      <c r="F11" s="34">
        <f>_xlfn.STDEV.P(BranchPolicies)</f>
        <v>33.581620872385933</v>
      </c>
      <c r="G11" s="34">
        <f>_xlfn.STDEV.S(BranchPolicies)</f>
        <v>33.936991836248794</v>
      </c>
    </row>
    <row r="12" spans="1:10" s="1" customFormat="1" x14ac:dyDescent="0.25">
      <c r="A12" s="8">
        <v>41153</v>
      </c>
      <c r="B12" s="23">
        <v>655</v>
      </c>
      <c r="C12" s="16">
        <v>151</v>
      </c>
    </row>
    <row r="13" spans="1:10" s="1" customFormat="1" ht="15" customHeight="1" x14ac:dyDescent="0.25">
      <c r="A13" s="8">
        <v>41183</v>
      </c>
      <c r="B13" s="23">
        <v>641</v>
      </c>
      <c r="C13" s="16">
        <v>149</v>
      </c>
      <c r="E13" s="27"/>
      <c r="F13" s="28" t="s">
        <v>6</v>
      </c>
    </row>
    <row r="14" spans="1:10" s="1" customFormat="1" x14ac:dyDescent="0.25">
      <c r="A14" s="8">
        <v>41214</v>
      </c>
      <c r="B14" s="23">
        <v>638</v>
      </c>
      <c r="C14" s="16">
        <v>154</v>
      </c>
      <c r="E14" s="7" t="s">
        <v>4</v>
      </c>
      <c r="F14" s="16">
        <f>MEDIAN(BranchEnquiries)</f>
        <v>574</v>
      </c>
      <c r="G14" s="26"/>
      <c r="H14" s="22"/>
      <c r="I14" s="26"/>
      <c r="J14" s="26"/>
    </row>
    <row r="15" spans="1:10" s="1" customFormat="1" x14ac:dyDescent="0.25">
      <c r="A15" s="8">
        <v>41244</v>
      </c>
      <c r="B15" s="23">
        <v>575</v>
      </c>
      <c r="C15" s="16">
        <v>99</v>
      </c>
      <c r="E15" s="7" t="s">
        <v>5</v>
      </c>
      <c r="F15" s="16">
        <f>MEDIAN(BranchPolicies)</f>
        <v>111</v>
      </c>
      <c r="G15" s="26"/>
      <c r="H15" s="26"/>
      <c r="I15" s="26"/>
      <c r="J15" s="26"/>
    </row>
    <row r="16" spans="1:10" s="1" customFormat="1" x14ac:dyDescent="0.25">
      <c r="A16" s="8">
        <v>41275</v>
      </c>
      <c r="B16" s="23">
        <v>590</v>
      </c>
      <c r="C16" s="16">
        <v>132</v>
      </c>
      <c r="E16" s="11"/>
      <c r="F16" s="16"/>
      <c r="G16" s="26"/>
      <c r="H16" s="26"/>
      <c r="I16" s="26"/>
      <c r="J16" s="26"/>
    </row>
    <row r="17" spans="1:10" s="1" customFormat="1" x14ac:dyDescent="0.25">
      <c r="A17" s="8">
        <v>41306</v>
      </c>
      <c r="B17" s="23">
        <v>612</v>
      </c>
      <c r="C17" s="16">
        <v>132</v>
      </c>
      <c r="E17" s="27"/>
      <c r="F17" s="29" t="s">
        <v>8</v>
      </c>
      <c r="G17" s="29"/>
      <c r="H17" s="29"/>
      <c r="I17" s="29"/>
      <c r="J17" s="29"/>
    </row>
    <row r="18" spans="1:10" s="1" customFormat="1" x14ac:dyDescent="0.25">
      <c r="A18" s="8">
        <v>41334</v>
      </c>
      <c r="B18" s="23">
        <v>614</v>
      </c>
      <c r="C18" s="16">
        <v>138</v>
      </c>
      <c r="E18" s="27"/>
      <c r="F18" s="28" t="s">
        <v>9</v>
      </c>
      <c r="G18" s="28" t="s">
        <v>10</v>
      </c>
      <c r="H18" s="28" t="s">
        <v>11</v>
      </c>
      <c r="I18" s="28" t="s">
        <v>12</v>
      </c>
      <c r="J18" s="28" t="s">
        <v>13</v>
      </c>
    </row>
    <row r="19" spans="1:10" s="1" customFormat="1" x14ac:dyDescent="0.25">
      <c r="A19" s="8">
        <v>41365</v>
      </c>
      <c r="B19" s="23">
        <v>618</v>
      </c>
      <c r="C19" s="16">
        <v>114</v>
      </c>
      <c r="E19" s="7" t="s">
        <v>4</v>
      </c>
      <c r="F19" s="16">
        <f>_xlfn.QUARTILE.INC(BranchEnquiries,0)</f>
        <v>418</v>
      </c>
      <c r="G19" s="26">
        <f>_xlfn.QUARTILE.INC(BranchEnquiries,1)</f>
        <v>493</v>
      </c>
      <c r="H19" s="26">
        <f>_xlfn.QUARTILE.INC(BranchEnquiries,2)</f>
        <v>574</v>
      </c>
      <c r="I19" s="26">
        <f>_xlfn.QUARTILE.INC(BranchEnquiries,3)</f>
        <v>612.5</v>
      </c>
      <c r="J19" s="26">
        <f>_xlfn.QUARTILE.INC(BranchEnquiries,4)</f>
        <v>662</v>
      </c>
    </row>
    <row r="20" spans="1:10" s="1" customFormat="1" x14ac:dyDescent="0.25">
      <c r="A20" s="8">
        <v>41395</v>
      </c>
      <c r="B20" s="23">
        <v>649</v>
      </c>
      <c r="C20" s="16">
        <v>154</v>
      </c>
      <c r="E20" s="7" t="s">
        <v>5</v>
      </c>
      <c r="F20" s="22">
        <f>_xlfn.QUARTILE.INC(BranchPolicies,0)</f>
        <v>57</v>
      </c>
      <c r="G20" s="22">
        <f>_xlfn.QUARTILE.INC(BranchPolicies,1)</f>
        <v>86.25</v>
      </c>
      <c r="H20" s="22">
        <f>_xlfn.QUARTILE.INC(BranchPolicies,2)</f>
        <v>111</v>
      </c>
      <c r="I20" s="22">
        <f>_xlfn.QUARTILE.INC(BranchPolicies,3)</f>
        <v>139.25</v>
      </c>
      <c r="J20" s="22">
        <f>_xlfn.QUARTILE.INC(BranchPolicies,4)</f>
        <v>189</v>
      </c>
    </row>
    <row r="21" spans="1:10" s="1" customFormat="1" x14ac:dyDescent="0.25">
      <c r="A21" s="8">
        <v>41426</v>
      </c>
      <c r="B21" s="23">
        <v>647</v>
      </c>
      <c r="C21" s="16">
        <v>145</v>
      </c>
      <c r="E21" s="11"/>
      <c r="F21" s="16"/>
      <c r="G21" s="26"/>
      <c r="H21" s="26"/>
      <c r="I21" s="26"/>
      <c r="J21" s="26"/>
    </row>
    <row r="22" spans="1:10" s="1" customFormat="1" x14ac:dyDescent="0.25">
      <c r="A22" s="8">
        <v>41456</v>
      </c>
      <c r="B22" s="23">
        <v>604</v>
      </c>
      <c r="C22" s="16">
        <v>108</v>
      </c>
      <c r="E22" s="31" t="s">
        <v>14</v>
      </c>
      <c r="F22" s="31"/>
      <c r="G22" s="31"/>
      <c r="H22" s="31"/>
      <c r="I22" s="31"/>
      <c r="J22" s="26">
        <f>I19-G19</f>
        <v>119.5</v>
      </c>
    </row>
    <row r="23" spans="1:10" s="1" customFormat="1" x14ac:dyDescent="0.25">
      <c r="A23" s="8">
        <v>41487</v>
      </c>
      <c r="B23" s="23">
        <v>573</v>
      </c>
      <c r="C23" s="16">
        <v>124</v>
      </c>
      <c r="E23" s="31" t="s">
        <v>15</v>
      </c>
      <c r="F23" s="31"/>
      <c r="G23" s="31"/>
      <c r="H23" s="31"/>
      <c r="I23" s="31"/>
      <c r="J23" s="26">
        <f>J22/2</f>
        <v>59.75</v>
      </c>
    </row>
    <row r="24" spans="1:10" s="1" customFormat="1" x14ac:dyDescent="0.25">
      <c r="A24" s="8">
        <v>41518</v>
      </c>
      <c r="B24" s="23">
        <v>553</v>
      </c>
      <c r="C24" s="16">
        <v>98</v>
      </c>
      <c r="F24" s="26"/>
      <c r="G24" s="26"/>
      <c r="H24" s="26"/>
      <c r="I24" s="26"/>
      <c r="J24" s="26"/>
    </row>
    <row r="25" spans="1:10" s="1" customFormat="1" x14ac:dyDescent="0.25">
      <c r="A25" s="8">
        <v>41548</v>
      </c>
      <c r="B25" s="23">
        <v>579</v>
      </c>
      <c r="C25" s="16">
        <v>137</v>
      </c>
      <c r="E25" s="31" t="s">
        <v>16</v>
      </c>
      <c r="F25" s="31"/>
      <c r="G25" s="31"/>
      <c r="H25" s="31"/>
      <c r="I25" s="31"/>
      <c r="J25" s="26">
        <f>I20-G20</f>
        <v>53</v>
      </c>
    </row>
    <row r="26" spans="1:10" s="1" customFormat="1" x14ac:dyDescent="0.25">
      <c r="A26" s="8">
        <v>41579</v>
      </c>
      <c r="B26" s="23">
        <v>535</v>
      </c>
      <c r="C26" s="16">
        <v>101</v>
      </c>
      <c r="E26" s="31" t="s">
        <v>17</v>
      </c>
      <c r="F26" s="31"/>
      <c r="G26" s="31"/>
      <c r="H26" s="31"/>
      <c r="I26" s="31"/>
      <c r="J26" s="26">
        <f>J25/2</f>
        <v>26.5</v>
      </c>
    </row>
    <row r="27" spans="1:10" s="1" customFormat="1" x14ac:dyDescent="0.25">
      <c r="A27" s="8">
        <v>41609</v>
      </c>
      <c r="B27" s="23">
        <v>486</v>
      </c>
      <c r="C27" s="16">
        <v>61</v>
      </c>
      <c r="G27" s="26"/>
      <c r="H27" s="26"/>
      <c r="I27" s="26"/>
      <c r="J27" s="26"/>
    </row>
    <row r="28" spans="1:10" s="1" customFormat="1" x14ac:dyDescent="0.25">
      <c r="A28" s="8">
        <v>41640</v>
      </c>
      <c r="B28" s="23">
        <v>498</v>
      </c>
      <c r="C28" s="16">
        <v>90</v>
      </c>
      <c r="G28" s="26"/>
      <c r="H28" s="26"/>
      <c r="I28" s="26"/>
      <c r="J28" s="26"/>
    </row>
    <row r="29" spans="1:10" s="1" customFormat="1" x14ac:dyDescent="0.25">
      <c r="A29" s="8">
        <v>41671</v>
      </c>
      <c r="B29" s="23">
        <v>519</v>
      </c>
      <c r="C29" s="16">
        <v>99</v>
      </c>
      <c r="E29" s="11"/>
      <c r="F29" s="16"/>
      <c r="G29" s="26"/>
      <c r="H29" s="26"/>
      <c r="I29" s="26"/>
      <c r="J29" s="26"/>
    </row>
    <row r="30" spans="1:10" s="1" customFormat="1" x14ac:dyDescent="0.25">
      <c r="A30" s="8">
        <v>41699</v>
      </c>
      <c r="B30" s="23">
        <v>597</v>
      </c>
      <c r="C30" s="16">
        <v>162</v>
      </c>
      <c r="G30" s="26"/>
      <c r="H30" s="26"/>
      <c r="I30" s="26"/>
      <c r="J30" s="26"/>
    </row>
    <row r="31" spans="1:10" s="1" customFormat="1" x14ac:dyDescent="0.25">
      <c r="A31" s="8">
        <v>41730</v>
      </c>
      <c r="B31" s="23">
        <v>597</v>
      </c>
      <c r="C31" s="16">
        <v>132</v>
      </c>
    </row>
    <row r="32" spans="1:10" s="1" customFormat="1" x14ac:dyDescent="0.25">
      <c r="A32" s="8">
        <v>41760</v>
      </c>
      <c r="B32" s="23">
        <v>607</v>
      </c>
      <c r="C32" s="16">
        <v>137</v>
      </c>
    </row>
    <row r="33" spans="1:10" s="1" customFormat="1" x14ac:dyDescent="0.25">
      <c r="A33" s="8">
        <v>41791</v>
      </c>
      <c r="B33" s="23">
        <v>628</v>
      </c>
      <c r="C33" s="16">
        <v>141</v>
      </c>
    </row>
    <row r="34" spans="1:10" s="1" customFormat="1" x14ac:dyDescent="0.25">
      <c r="A34" s="8">
        <v>41821</v>
      </c>
      <c r="B34" s="23">
        <v>625</v>
      </c>
      <c r="C34" s="16">
        <v>128</v>
      </c>
    </row>
    <row r="35" spans="1:10" s="1" customFormat="1" x14ac:dyDescent="0.25">
      <c r="A35" s="8">
        <v>41852</v>
      </c>
      <c r="B35" s="23">
        <v>598</v>
      </c>
      <c r="C35" s="16">
        <v>115</v>
      </c>
    </row>
    <row r="36" spans="1:10" s="1" customFormat="1" x14ac:dyDescent="0.25">
      <c r="A36" s="8">
        <v>41883</v>
      </c>
      <c r="B36" s="23">
        <v>583</v>
      </c>
      <c r="C36" s="16">
        <v>84</v>
      </c>
    </row>
    <row r="37" spans="1:10" s="1" customFormat="1" x14ac:dyDescent="0.25">
      <c r="A37" s="8">
        <v>41913</v>
      </c>
      <c r="B37" s="23">
        <v>553</v>
      </c>
      <c r="C37" s="16">
        <v>99</v>
      </c>
    </row>
    <row r="38" spans="1:10" s="1" customFormat="1" x14ac:dyDescent="0.25">
      <c r="A38" s="8">
        <v>41944</v>
      </c>
      <c r="B38" s="23">
        <v>476</v>
      </c>
      <c r="C38" s="16">
        <v>57</v>
      </c>
    </row>
    <row r="39" spans="1:10" s="1" customFormat="1" x14ac:dyDescent="0.25">
      <c r="A39" s="8">
        <v>41974</v>
      </c>
      <c r="B39" s="23">
        <v>475</v>
      </c>
      <c r="C39" s="16">
        <v>77</v>
      </c>
    </row>
    <row r="40" spans="1:10" s="1" customFormat="1" x14ac:dyDescent="0.25">
      <c r="A40" s="8">
        <v>42005</v>
      </c>
      <c r="B40" s="23">
        <v>469</v>
      </c>
      <c r="C40" s="16">
        <v>65</v>
      </c>
    </row>
    <row r="41" spans="1:10" s="1" customFormat="1" x14ac:dyDescent="0.25">
      <c r="A41" s="8">
        <v>42036</v>
      </c>
      <c r="B41" s="23">
        <v>454</v>
      </c>
      <c r="C41" s="16">
        <v>69</v>
      </c>
    </row>
    <row r="42" spans="1:10" s="1" customFormat="1" x14ac:dyDescent="0.25">
      <c r="A42" s="8">
        <v>42064</v>
      </c>
      <c r="B42" s="23">
        <v>485</v>
      </c>
      <c r="C42" s="16">
        <v>78</v>
      </c>
    </row>
    <row r="43" spans="1:10" s="1" customFormat="1" x14ac:dyDescent="0.25">
      <c r="A43" s="8">
        <v>42095</v>
      </c>
      <c r="B43" s="23">
        <v>483</v>
      </c>
      <c r="C43" s="16">
        <v>74</v>
      </c>
    </row>
    <row r="44" spans="1:10" s="1" customFormat="1" x14ac:dyDescent="0.25">
      <c r="A44" s="8">
        <v>42125</v>
      </c>
      <c r="B44" s="23">
        <v>494</v>
      </c>
      <c r="C44" s="16">
        <v>87</v>
      </c>
      <c r="E44" s="11"/>
      <c r="F44" s="16"/>
      <c r="G44" s="26"/>
      <c r="H44" s="26"/>
      <c r="I44" s="26"/>
      <c r="J44" s="26"/>
    </row>
    <row r="45" spans="1:10" s="1" customFormat="1" x14ac:dyDescent="0.25">
      <c r="A45" s="8">
        <v>42156</v>
      </c>
      <c r="B45" s="23">
        <v>504</v>
      </c>
      <c r="C45" s="16">
        <v>98</v>
      </c>
      <c r="E45" s="11"/>
      <c r="F45" s="16"/>
      <c r="G45" s="26"/>
      <c r="H45" s="26"/>
      <c r="I45" s="26"/>
      <c r="J45" s="26"/>
    </row>
    <row r="46" spans="1:10" s="1" customFormat="1" x14ac:dyDescent="0.25">
      <c r="A46" s="8">
        <v>42186</v>
      </c>
      <c r="B46" s="23">
        <v>502</v>
      </c>
      <c r="C46" s="16">
        <v>103</v>
      </c>
      <c r="E46" s="11"/>
      <c r="F46" s="16"/>
      <c r="G46" s="26"/>
      <c r="H46" s="26"/>
      <c r="I46" s="26"/>
      <c r="J46" s="26"/>
    </row>
    <row r="47" spans="1:10" s="1" customFormat="1" x14ac:dyDescent="0.25">
      <c r="A47" s="8">
        <v>42217</v>
      </c>
      <c r="B47" s="23">
        <v>490</v>
      </c>
      <c r="C47" s="16">
        <v>87</v>
      </c>
      <c r="E47" s="11"/>
      <c r="F47" s="16"/>
      <c r="G47" s="26"/>
      <c r="H47" s="26"/>
      <c r="I47" s="26"/>
      <c r="J47" s="26"/>
    </row>
    <row r="48" spans="1:10" s="1" customFormat="1" x14ac:dyDescent="0.25">
      <c r="A48" s="8">
        <v>42248</v>
      </c>
      <c r="B48" s="23">
        <v>477</v>
      </c>
      <c r="C48" s="16">
        <v>80</v>
      </c>
      <c r="E48" s="11"/>
      <c r="F48" s="16"/>
      <c r="G48" s="26"/>
      <c r="H48" s="26"/>
      <c r="I48" s="26"/>
      <c r="J48" s="26"/>
    </row>
    <row r="49" spans="1:15" x14ac:dyDescent="0.25">
      <c r="A49" s="8">
        <v>42278</v>
      </c>
      <c r="B49" s="17">
        <v>454</v>
      </c>
      <c r="C49" s="24">
        <v>78</v>
      </c>
    </row>
    <row r="50" spans="1:15" x14ac:dyDescent="0.25">
      <c r="A50" s="8">
        <v>42309</v>
      </c>
      <c r="B50" s="24">
        <v>426</v>
      </c>
      <c r="C50" s="24">
        <v>75</v>
      </c>
    </row>
    <row r="51" spans="1:15" x14ac:dyDescent="0.25">
      <c r="A51" s="8">
        <v>42339</v>
      </c>
      <c r="B51" s="24">
        <v>418</v>
      </c>
      <c r="C51" s="24">
        <v>73</v>
      </c>
    </row>
    <row r="52" spans="1:15" x14ac:dyDescent="0.25">
      <c r="A52" s="8"/>
      <c r="B52" s="24"/>
      <c r="C52" s="24"/>
    </row>
    <row r="53" spans="1:15" x14ac:dyDescent="0.25">
      <c r="A53" s="8"/>
      <c r="B53" s="25"/>
      <c r="C53" s="25"/>
      <c r="D53" s="2"/>
      <c r="E53" s="12"/>
      <c r="F53" s="18"/>
      <c r="G53" s="30"/>
      <c r="H53" s="30"/>
      <c r="I53" s="30"/>
      <c r="J53" s="30"/>
      <c r="K53" s="2"/>
      <c r="L53" s="2"/>
      <c r="M53" s="2"/>
      <c r="N53" s="2"/>
      <c r="O53" s="2"/>
    </row>
    <row r="54" spans="1:15" s="1" customFormat="1" x14ac:dyDescent="0.25">
      <c r="A54" s="9"/>
      <c r="B54" s="17"/>
      <c r="C54" s="17"/>
      <c r="E54" s="11"/>
      <c r="F54" s="16"/>
      <c r="G54" s="26"/>
      <c r="H54" s="26"/>
      <c r="I54" s="26"/>
      <c r="J54" s="26"/>
    </row>
    <row r="55" spans="1:15" x14ac:dyDescent="0.25">
      <c r="A55" s="9"/>
      <c r="B55" s="24"/>
      <c r="C55" s="24"/>
    </row>
    <row r="56" spans="1:15" x14ac:dyDescent="0.25">
      <c r="A56" s="9"/>
      <c r="B56" s="24"/>
      <c r="C56" s="24"/>
    </row>
    <row r="57" spans="1:15" x14ac:dyDescent="0.25">
      <c r="A57" s="9"/>
      <c r="B57" s="24"/>
      <c r="C57" s="24"/>
    </row>
    <row r="58" spans="1:15" x14ac:dyDescent="0.25">
      <c r="A58" s="9"/>
      <c r="B58" s="24"/>
      <c r="C58" s="24"/>
    </row>
    <row r="59" spans="1:15" x14ac:dyDescent="0.25">
      <c r="A59" s="9"/>
      <c r="B59" s="24"/>
      <c r="C59" s="24"/>
    </row>
    <row r="60" spans="1:15" x14ac:dyDescent="0.25">
      <c r="A60" s="9"/>
      <c r="B60" s="24"/>
      <c r="C60" s="24"/>
    </row>
    <row r="61" spans="1:15" x14ac:dyDescent="0.25">
      <c r="A61" s="9"/>
      <c r="B61" s="24"/>
      <c r="C61" s="24"/>
    </row>
    <row r="62" spans="1:15" x14ac:dyDescent="0.25">
      <c r="A62" s="9"/>
      <c r="B62" s="24"/>
      <c r="C62" s="24"/>
    </row>
    <row r="63" spans="1:15" x14ac:dyDescent="0.25">
      <c r="A63" s="9"/>
      <c r="B63" s="24"/>
      <c r="C63" s="24"/>
    </row>
    <row r="64" spans="1:15" x14ac:dyDescent="0.25">
      <c r="A64" s="9"/>
      <c r="B64" s="24"/>
      <c r="C64" s="24"/>
    </row>
    <row r="65" spans="1:3" x14ac:dyDescent="0.25">
      <c r="A65" s="9"/>
      <c r="B65" s="24"/>
      <c r="C65" s="24"/>
    </row>
    <row r="66" spans="1:3" x14ac:dyDescent="0.25">
      <c r="A66" s="9"/>
      <c r="B66" s="24"/>
      <c r="C66" s="24"/>
    </row>
    <row r="67" spans="1:3" x14ac:dyDescent="0.25">
      <c r="A67" s="9"/>
      <c r="B67" s="24"/>
      <c r="C67" s="24"/>
    </row>
    <row r="68" spans="1:3" x14ac:dyDescent="0.25">
      <c r="A68" s="9"/>
      <c r="B68" s="24"/>
      <c r="C68" s="24"/>
    </row>
    <row r="69" spans="1:3" x14ac:dyDescent="0.25">
      <c r="A69" s="9"/>
      <c r="B69" s="24"/>
      <c r="C69" s="24"/>
    </row>
    <row r="70" spans="1:3" x14ac:dyDescent="0.25">
      <c r="A70" s="9"/>
      <c r="B70" s="24"/>
      <c r="C70" s="24"/>
    </row>
    <row r="71" spans="1:3" x14ac:dyDescent="0.25">
      <c r="A71" s="9"/>
      <c r="B71" s="24"/>
      <c r="C71" s="24"/>
    </row>
    <row r="72" spans="1:3" x14ac:dyDescent="0.25">
      <c r="A72" s="9"/>
      <c r="B72" s="24"/>
      <c r="C72" s="24"/>
    </row>
    <row r="73" spans="1:3" x14ac:dyDescent="0.25">
      <c r="A73" s="9"/>
      <c r="B73" s="24"/>
      <c r="C73" s="24"/>
    </row>
    <row r="74" spans="1:3" x14ac:dyDescent="0.25">
      <c r="A74" s="9"/>
      <c r="B74" s="24"/>
      <c r="C74" s="24"/>
    </row>
    <row r="75" spans="1:3" x14ac:dyDescent="0.25">
      <c r="A75" s="9"/>
      <c r="B75" s="24"/>
      <c r="C75" s="24"/>
    </row>
    <row r="76" spans="1:3" x14ac:dyDescent="0.25">
      <c r="A76" s="9"/>
      <c r="B76" s="24"/>
      <c r="C76" s="24"/>
    </row>
    <row r="77" spans="1:3" x14ac:dyDescent="0.25">
      <c r="A77" s="9"/>
      <c r="B77" s="24"/>
      <c r="C77" s="24"/>
    </row>
    <row r="78" spans="1:3" x14ac:dyDescent="0.25">
      <c r="A78" s="9"/>
      <c r="B78" s="24"/>
      <c r="C78" s="24"/>
    </row>
    <row r="79" spans="1:3" x14ac:dyDescent="0.25">
      <c r="A79" s="9"/>
      <c r="B79" s="24"/>
      <c r="C79" s="24"/>
    </row>
    <row r="80" spans="1:3" x14ac:dyDescent="0.25">
      <c r="A80" s="9"/>
      <c r="B80" s="24"/>
      <c r="C80" s="24"/>
    </row>
    <row r="81" spans="1:3" x14ac:dyDescent="0.25">
      <c r="A81" s="9"/>
      <c r="B81" s="24"/>
      <c r="C81" s="24"/>
    </row>
    <row r="82" spans="1:3" x14ac:dyDescent="0.25">
      <c r="A82" s="9"/>
      <c r="B82" s="24"/>
      <c r="C82" s="24"/>
    </row>
    <row r="83" spans="1:3" x14ac:dyDescent="0.25">
      <c r="A83" s="9"/>
      <c r="B83" s="24"/>
      <c r="C83" s="24"/>
    </row>
    <row r="84" spans="1:3" x14ac:dyDescent="0.25">
      <c r="A84" s="9"/>
      <c r="B84" s="24"/>
      <c r="C84" s="24"/>
    </row>
    <row r="85" spans="1:3" x14ac:dyDescent="0.25">
      <c r="A85" s="9"/>
      <c r="B85" s="24"/>
      <c r="C85" s="24"/>
    </row>
    <row r="86" spans="1:3" x14ac:dyDescent="0.25">
      <c r="A86" s="9"/>
      <c r="B86" s="24"/>
      <c r="C86" s="24"/>
    </row>
    <row r="87" spans="1:3" x14ac:dyDescent="0.25">
      <c r="A87" s="9"/>
      <c r="B87" s="24"/>
      <c r="C87" s="24"/>
    </row>
    <row r="88" spans="1:3" x14ac:dyDescent="0.25">
      <c r="A88" s="9"/>
      <c r="B88" s="24"/>
      <c r="C88" s="24"/>
    </row>
    <row r="89" spans="1:3" x14ac:dyDescent="0.25">
      <c r="A89" s="9"/>
      <c r="B89" s="24"/>
      <c r="C89" s="24"/>
    </row>
    <row r="90" spans="1:3" x14ac:dyDescent="0.25">
      <c r="A90" s="9"/>
      <c r="B90" s="24"/>
      <c r="C90" s="24"/>
    </row>
    <row r="91" spans="1:3" x14ac:dyDescent="0.25">
      <c r="A91" s="9"/>
      <c r="B91" s="24"/>
      <c r="C91" s="24"/>
    </row>
    <row r="92" spans="1:3" x14ac:dyDescent="0.25">
      <c r="A92" s="9"/>
      <c r="B92" s="24"/>
      <c r="C92" s="24"/>
    </row>
    <row r="93" spans="1:3" x14ac:dyDescent="0.25">
      <c r="A93" s="9"/>
      <c r="B93" s="24"/>
      <c r="C93" s="24"/>
    </row>
    <row r="94" spans="1:3" x14ac:dyDescent="0.25">
      <c r="A94" s="9"/>
      <c r="B94" s="24"/>
      <c r="C94" s="24"/>
    </row>
    <row r="95" spans="1:3" x14ac:dyDescent="0.25">
      <c r="A95" s="9"/>
      <c r="B95" s="24"/>
      <c r="C95" s="24"/>
    </row>
    <row r="96" spans="1:3" x14ac:dyDescent="0.25">
      <c r="A96" s="9"/>
      <c r="B96" s="24"/>
      <c r="C96" s="24"/>
    </row>
    <row r="97" spans="1:3" x14ac:dyDescent="0.25">
      <c r="A97" s="9"/>
      <c r="B97" s="24"/>
      <c r="C97" s="24"/>
    </row>
    <row r="98" spans="1:3" x14ac:dyDescent="0.25">
      <c r="A98" s="9"/>
      <c r="B98" s="24"/>
      <c r="C98" s="24"/>
    </row>
    <row r="99" spans="1:3" x14ac:dyDescent="0.25">
      <c r="B99" s="24"/>
      <c r="C99" s="24"/>
    </row>
    <row r="100" spans="1:3" x14ac:dyDescent="0.25">
      <c r="B100" s="24"/>
      <c r="C100" s="24"/>
    </row>
    <row r="101" spans="1:3" x14ac:dyDescent="0.25">
      <c r="B101" s="24"/>
      <c r="C101" s="24"/>
    </row>
    <row r="102" spans="1:3" x14ac:dyDescent="0.25">
      <c r="B102" s="24"/>
      <c r="C102" s="24"/>
    </row>
    <row r="103" spans="1:3" x14ac:dyDescent="0.25">
      <c r="B103" s="24"/>
      <c r="C103" s="24"/>
    </row>
    <row r="104" spans="1:3" x14ac:dyDescent="0.25">
      <c r="B104" s="24"/>
      <c r="C104" s="24"/>
    </row>
    <row r="105" spans="1:3" x14ac:dyDescent="0.25">
      <c r="B105" s="24"/>
      <c r="C105" s="24"/>
    </row>
    <row r="106" spans="1:3" x14ac:dyDescent="0.25">
      <c r="B106" s="24"/>
      <c r="C106" s="24"/>
    </row>
    <row r="107" spans="1:3" x14ac:dyDescent="0.25">
      <c r="B107" s="24"/>
      <c r="C107" s="24"/>
    </row>
    <row r="108" spans="1:3" x14ac:dyDescent="0.25">
      <c r="B108" s="24"/>
      <c r="C108" s="24"/>
    </row>
    <row r="109" spans="1:3" x14ac:dyDescent="0.25">
      <c r="B109" s="24"/>
      <c r="C109" s="24"/>
    </row>
    <row r="110" spans="1:3" x14ac:dyDescent="0.25">
      <c r="B110" s="24"/>
      <c r="C110" s="24"/>
    </row>
    <row r="111" spans="1:3" x14ac:dyDescent="0.25">
      <c r="B111" s="24"/>
      <c r="C111" s="24"/>
    </row>
    <row r="112" spans="1:3" x14ac:dyDescent="0.25">
      <c r="B112" s="24"/>
      <c r="C112" s="24"/>
    </row>
    <row r="113" spans="2:3" x14ac:dyDescent="0.25">
      <c r="B113" s="24"/>
      <c r="C113" s="24"/>
    </row>
    <row r="114" spans="2:3" x14ac:dyDescent="0.25">
      <c r="B114" s="24"/>
      <c r="C114" s="24"/>
    </row>
    <row r="115" spans="2:3" x14ac:dyDescent="0.25">
      <c r="B115" s="24"/>
      <c r="C115" s="24"/>
    </row>
    <row r="116" spans="2:3" x14ac:dyDescent="0.25">
      <c r="B116" s="24"/>
      <c r="C116" s="24"/>
    </row>
    <row r="117" spans="2:3" x14ac:dyDescent="0.25">
      <c r="B117" s="24"/>
      <c r="C117" s="24"/>
    </row>
    <row r="118" spans="2:3" x14ac:dyDescent="0.25">
      <c r="B118" s="24"/>
      <c r="C118" s="24"/>
    </row>
    <row r="119" spans="2:3" x14ac:dyDescent="0.25">
      <c r="B119" s="24"/>
      <c r="C119" s="24"/>
    </row>
    <row r="120" spans="2:3" x14ac:dyDescent="0.25">
      <c r="B120" s="24"/>
      <c r="C120" s="24"/>
    </row>
    <row r="121" spans="2:3" x14ac:dyDescent="0.25">
      <c r="B121" s="24"/>
      <c r="C121" s="24"/>
    </row>
    <row r="122" spans="2:3" x14ac:dyDescent="0.25">
      <c r="B122" s="24"/>
      <c r="C122" s="24"/>
    </row>
    <row r="123" spans="2:3" x14ac:dyDescent="0.25">
      <c r="B123" s="24"/>
      <c r="C123" s="24"/>
    </row>
    <row r="124" spans="2:3" x14ac:dyDescent="0.25">
      <c r="B124" s="24"/>
      <c r="C124" s="24"/>
    </row>
    <row r="125" spans="2:3" x14ac:dyDescent="0.25">
      <c r="B125" s="24"/>
      <c r="C125" s="24"/>
    </row>
    <row r="126" spans="2:3" x14ac:dyDescent="0.25">
      <c r="B126" s="24"/>
      <c r="C126" s="24"/>
    </row>
    <row r="127" spans="2:3" x14ac:dyDescent="0.25">
      <c r="B127" s="24"/>
      <c r="C127" s="24"/>
    </row>
    <row r="128" spans="2:3" x14ac:dyDescent="0.25">
      <c r="B128" s="24"/>
      <c r="C128" s="24"/>
    </row>
    <row r="129" spans="2:3" x14ac:dyDescent="0.25">
      <c r="B129" s="24"/>
      <c r="C129" s="24"/>
    </row>
    <row r="130" spans="2:3" x14ac:dyDescent="0.25">
      <c r="B130" s="24"/>
      <c r="C130" s="24"/>
    </row>
    <row r="131" spans="2:3" x14ac:dyDescent="0.25">
      <c r="B131" s="24"/>
      <c r="C131" s="24"/>
    </row>
    <row r="132" spans="2:3" x14ac:dyDescent="0.25">
      <c r="B132" s="24"/>
      <c r="C132" s="24"/>
    </row>
    <row r="133" spans="2:3" x14ac:dyDescent="0.25">
      <c r="B133" s="24"/>
      <c r="C133" s="24"/>
    </row>
    <row r="134" spans="2:3" x14ac:dyDescent="0.25">
      <c r="B134" s="24"/>
      <c r="C134" s="24"/>
    </row>
    <row r="135" spans="2:3" x14ac:dyDescent="0.25">
      <c r="B135" s="24"/>
      <c r="C135" s="24"/>
    </row>
    <row r="136" spans="2:3" x14ac:dyDescent="0.25">
      <c r="B136" s="24"/>
      <c r="C136" s="24"/>
    </row>
    <row r="137" spans="2:3" x14ac:dyDescent="0.25">
      <c r="B137" s="24"/>
      <c r="C137" s="24"/>
    </row>
    <row r="138" spans="2:3" x14ac:dyDescent="0.25">
      <c r="B138" s="24"/>
      <c r="C138" s="24"/>
    </row>
    <row r="139" spans="2:3" x14ac:dyDescent="0.25">
      <c r="B139" s="24"/>
      <c r="C139" s="24"/>
    </row>
    <row r="140" spans="2:3" x14ac:dyDescent="0.25">
      <c r="B140" s="24"/>
      <c r="C140" s="24"/>
    </row>
    <row r="141" spans="2:3" x14ac:dyDescent="0.25">
      <c r="B141" s="24"/>
      <c r="C141" s="24"/>
    </row>
    <row r="142" spans="2:3" x14ac:dyDescent="0.25">
      <c r="B142" s="24"/>
      <c r="C142" s="24"/>
    </row>
    <row r="143" spans="2:3" x14ac:dyDescent="0.25">
      <c r="B143" s="24"/>
      <c r="C143" s="24"/>
    </row>
    <row r="144" spans="2:3" x14ac:dyDescent="0.25">
      <c r="B144" s="24"/>
      <c r="C144" s="24"/>
    </row>
    <row r="145" spans="2:3" x14ac:dyDescent="0.25">
      <c r="B145" s="24"/>
      <c r="C145" s="24"/>
    </row>
    <row r="146" spans="2:3" x14ac:dyDescent="0.25">
      <c r="B146" s="24"/>
      <c r="C146" s="24"/>
    </row>
    <row r="147" spans="2:3" x14ac:dyDescent="0.25">
      <c r="B147" s="24"/>
      <c r="C147" s="24"/>
    </row>
    <row r="148" spans="2:3" x14ac:dyDescent="0.25">
      <c r="B148" s="24"/>
      <c r="C148" s="24"/>
    </row>
    <row r="149" spans="2:3" x14ac:dyDescent="0.25">
      <c r="B149" s="24"/>
      <c r="C149" s="24"/>
    </row>
    <row r="150" spans="2:3" x14ac:dyDescent="0.25">
      <c r="B150" s="24"/>
      <c r="C150" s="24"/>
    </row>
    <row r="151" spans="2:3" x14ac:dyDescent="0.25">
      <c r="B151" s="24"/>
      <c r="C151" s="24"/>
    </row>
    <row r="152" spans="2:3" x14ac:dyDescent="0.25">
      <c r="B152" s="24"/>
      <c r="C152" s="24"/>
    </row>
    <row r="153" spans="2:3" x14ac:dyDescent="0.25">
      <c r="B153" s="24"/>
      <c r="C153" s="24"/>
    </row>
    <row r="154" spans="2:3" x14ac:dyDescent="0.25">
      <c r="B154" s="24"/>
      <c r="C154" s="24"/>
    </row>
    <row r="155" spans="2:3" x14ac:dyDescent="0.25">
      <c r="B155" s="24"/>
      <c r="C155" s="24"/>
    </row>
    <row r="156" spans="2:3" x14ac:dyDescent="0.25">
      <c r="B156" s="24"/>
      <c r="C156" s="24"/>
    </row>
    <row r="157" spans="2:3" x14ac:dyDescent="0.25">
      <c r="B157" s="24"/>
      <c r="C157" s="24"/>
    </row>
    <row r="158" spans="2:3" x14ac:dyDescent="0.25">
      <c r="B158" s="24"/>
      <c r="C158" s="24"/>
    </row>
    <row r="159" spans="2:3" x14ac:dyDescent="0.25">
      <c r="B159" s="24"/>
      <c r="C159" s="24"/>
    </row>
    <row r="160" spans="2:3" x14ac:dyDescent="0.25">
      <c r="B160" s="24"/>
      <c r="C160" s="24"/>
    </row>
    <row r="161" spans="2:3" x14ac:dyDescent="0.25">
      <c r="B161" s="24"/>
      <c r="C161" s="24"/>
    </row>
    <row r="162" spans="2:3" x14ac:dyDescent="0.25">
      <c r="B162" s="24"/>
      <c r="C162" s="24"/>
    </row>
    <row r="163" spans="2:3" x14ac:dyDescent="0.25">
      <c r="B163" s="24"/>
      <c r="C163" s="24"/>
    </row>
    <row r="164" spans="2:3" x14ac:dyDescent="0.25">
      <c r="B164" s="24"/>
      <c r="C164" s="24"/>
    </row>
    <row r="165" spans="2:3" x14ac:dyDescent="0.25">
      <c r="B165" s="24"/>
      <c r="C165" s="24"/>
    </row>
    <row r="166" spans="2:3" x14ac:dyDescent="0.25">
      <c r="B166" s="24"/>
      <c r="C166" s="24"/>
    </row>
    <row r="167" spans="2:3" x14ac:dyDescent="0.25">
      <c r="B167" s="24"/>
      <c r="C167" s="24"/>
    </row>
    <row r="168" spans="2:3" x14ac:dyDescent="0.25">
      <c r="B168" s="24"/>
      <c r="C168" s="24"/>
    </row>
    <row r="169" spans="2:3" x14ac:dyDescent="0.25">
      <c r="B169" s="24"/>
      <c r="C169" s="24"/>
    </row>
    <row r="170" spans="2:3" x14ac:dyDescent="0.25">
      <c r="B170" s="24"/>
      <c r="C170" s="24"/>
    </row>
    <row r="171" spans="2:3" x14ac:dyDescent="0.25">
      <c r="B171" s="24"/>
      <c r="C171" s="24"/>
    </row>
    <row r="172" spans="2:3" x14ac:dyDescent="0.25">
      <c r="B172" s="24"/>
      <c r="C172" s="24"/>
    </row>
    <row r="173" spans="2:3" x14ac:dyDescent="0.25">
      <c r="B173" s="24"/>
      <c r="C173" s="24"/>
    </row>
    <row r="174" spans="2:3" x14ac:dyDescent="0.25">
      <c r="B174" s="24"/>
      <c r="C174" s="24"/>
    </row>
    <row r="175" spans="2:3" x14ac:dyDescent="0.25">
      <c r="B175" s="24"/>
      <c r="C175" s="24"/>
    </row>
    <row r="176" spans="2:3" x14ac:dyDescent="0.25">
      <c r="B176" s="24"/>
      <c r="C176" s="24"/>
    </row>
    <row r="177" spans="2:3" x14ac:dyDescent="0.25">
      <c r="B177" s="24"/>
      <c r="C177" s="24"/>
    </row>
    <row r="178" spans="2:3" x14ac:dyDescent="0.25">
      <c r="B178" s="24"/>
      <c r="C178" s="24"/>
    </row>
    <row r="179" spans="2:3" x14ac:dyDescent="0.25">
      <c r="B179" s="24"/>
      <c r="C179" s="24"/>
    </row>
    <row r="180" spans="2:3" x14ac:dyDescent="0.25">
      <c r="B180" s="24"/>
      <c r="C180" s="24"/>
    </row>
    <row r="181" spans="2:3" x14ac:dyDescent="0.25">
      <c r="B181" s="24"/>
      <c r="C181" s="24"/>
    </row>
    <row r="182" spans="2:3" x14ac:dyDescent="0.25">
      <c r="B182" s="24"/>
      <c r="C182" s="24"/>
    </row>
    <row r="183" spans="2:3" x14ac:dyDescent="0.25">
      <c r="B183" s="24"/>
      <c r="C183" s="24"/>
    </row>
    <row r="184" spans="2:3" x14ac:dyDescent="0.25">
      <c r="B184" s="24"/>
      <c r="C184" s="24"/>
    </row>
    <row r="185" spans="2:3" x14ac:dyDescent="0.25">
      <c r="B185" s="24"/>
      <c r="C185" s="24"/>
    </row>
    <row r="186" spans="2:3" x14ac:dyDescent="0.25">
      <c r="B186" s="24"/>
      <c r="C186" s="24"/>
    </row>
    <row r="187" spans="2:3" x14ac:dyDescent="0.25">
      <c r="B187" s="24"/>
      <c r="C187" s="24"/>
    </row>
    <row r="188" spans="2:3" x14ac:dyDescent="0.25">
      <c r="B188" s="24"/>
      <c r="C188" s="24"/>
    </row>
    <row r="189" spans="2:3" x14ac:dyDescent="0.25">
      <c r="B189" s="24"/>
      <c r="C189" s="24"/>
    </row>
    <row r="190" spans="2:3" x14ac:dyDescent="0.25">
      <c r="B190" s="24"/>
      <c r="C190" s="24"/>
    </row>
    <row r="191" spans="2:3" x14ac:dyDescent="0.25">
      <c r="B191" s="24"/>
      <c r="C191" s="24"/>
    </row>
    <row r="192" spans="2:3" x14ac:dyDescent="0.25">
      <c r="B192" s="24"/>
      <c r="C192" s="24"/>
    </row>
    <row r="193" spans="2:3" x14ac:dyDescent="0.25">
      <c r="B193" s="24"/>
      <c r="C193" s="24"/>
    </row>
    <row r="194" spans="2:3" x14ac:dyDescent="0.25">
      <c r="B194" s="24"/>
      <c r="C194" s="24"/>
    </row>
    <row r="195" spans="2:3" x14ac:dyDescent="0.25">
      <c r="B195" s="24"/>
      <c r="C195" s="24"/>
    </row>
    <row r="196" spans="2:3" x14ac:dyDescent="0.25">
      <c r="B196" s="24"/>
      <c r="C196" s="24"/>
    </row>
    <row r="197" spans="2:3" x14ac:dyDescent="0.25">
      <c r="B197" s="24"/>
      <c r="C197" s="24"/>
    </row>
    <row r="198" spans="2:3" x14ac:dyDescent="0.25">
      <c r="B198" s="24"/>
      <c r="C198" s="24"/>
    </row>
    <row r="199" spans="2:3" x14ac:dyDescent="0.25">
      <c r="B199" s="24"/>
      <c r="C199" s="24"/>
    </row>
    <row r="200" spans="2:3" x14ac:dyDescent="0.25">
      <c r="B200" s="24"/>
      <c r="C200" s="24"/>
    </row>
    <row r="201" spans="2:3" x14ac:dyDescent="0.25">
      <c r="B201" s="24"/>
      <c r="C201" s="24"/>
    </row>
    <row r="202" spans="2:3" x14ac:dyDescent="0.25">
      <c r="B202" s="24"/>
      <c r="C202" s="24"/>
    </row>
    <row r="203" spans="2:3" x14ac:dyDescent="0.25">
      <c r="B203" s="24"/>
      <c r="C203" s="24"/>
    </row>
    <row r="204" spans="2:3" x14ac:dyDescent="0.25">
      <c r="B204" s="24"/>
      <c r="C204" s="24"/>
    </row>
    <row r="205" spans="2:3" x14ac:dyDescent="0.25">
      <c r="B205" s="24"/>
      <c r="C205" s="24"/>
    </row>
    <row r="206" spans="2:3" x14ac:dyDescent="0.25">
      <c r="B206" s="24"/>
      <c r="C206" s="24"/>
    </row>
    <row r="207" spans="2:3" x14ac:dyDescent="0.25">
      <c r="B207" s="24"/>
      <c r="C207" s="24"/>
    </row>
    <row r="208" spans="2:3" x14ac:dyDescent="0.25">
      <c r="B208" s="24"/>
      <c r="C208" s="24"/>
    </row>
    <row r="209" spans="2:3" x14ac:dyDescent="0.25">
      <c r="B209" s="24"/>
      <c r="C209" s="24"/>
    </row>
    <row r="210" spans="2:3" x14ac:dyDescent="0.25">
      <c r="B210" s="24"/>
      <c r="C210" s="24"/>
    </row>
    <row r="211" spans="2:3" x14ac:dyDescent="0.25">
      <c r="B211" s="24"/>
      <c r="C211" s="24"/>
    </row>
    <row r="212" spans="2:3" x14ac:dyDescent="0.25">
      <c r="B212" s="24"/>
      <c r="C212" s="24"/>
    </row>
    <row r="213" spans="2:3" x14ac:dyDescent="0.25">
      <c r="B213" s="24"/>
      <c r="C213" s="24"/>
    </row>
    <row r="214" spans="2:3" x14ac:dyDescent="0.25">
      <c r="B214" s="24"/>
      <c r="C214" s="24"/>
    </row>
    <row r="215" spans="2:3" x14ac:dyDescent="0.25">
      <c r="B215" s="24"/>
      <c r="C215" s="24"/>
    </row>
    <row r="216" spans="2:3" x14ac:dyDescent="0.25">
      <c r="B216" s="24"/>
      <c r="C216" s="24"/>
    </row>
    <row r="217" spans="2:3" x14ac:dyDescent="0.25">
      <c r="B217" s="24"/>
      <c r="C217" s="24"/>
    </row>
    <row r="218" spans="2:3" x14ac:dyDescent="0.25">
      <c r="B218" s="24"/>
      <c r="C218" s="24"/>
    </row>
    <row r="219" spans="2:3" x14ac:dyDescent="0.25">
      <c r="B219" s="24"/>
      <c r="C219" s="24"/>
    </row>
    <row r="220" spans="2:3" x14ac:dyDescent="0.25">
      <c r="B220" s="24"/>
      <c r="C220" s="24"/>
    </row>
    <row r="221" spans="2:3" x14ac:dyDescent="0.25">
      <c r="B221" s="24"/>
      <c r="C221" s="24"/>
    </row>
    <row r="222" spans="2:3" x14ac:dyDescent="0.25">
      <c r="B222" s="24"/>
      <c r="C222" s="24"/>
    </row>
    <row r="223" spans="2:3" x14ac:dyDescent="0.25">
      <c r="B223" s="24"/>
      <c r="C223" s="24"/>
    </row>
    <row r="224" spans="2:3" x14ac:dyDescent="0.25">
      <c r="B224" s="24"/>
      <c r="C224" s="24"/>
    </row>
    <row r="225" spans="2:3" x14ac:dyDescent="0.25">
      <c r="B225" s="24"/>
      <c r="C225" s="24"/>
    </row>
    <row r="226" spans="2:3" x14ac:dyDescent="0.25">
      <c r="B226" s="24"/>
      <c r="C226" s="24"/>
    </row>
    <row r="227" spans="2:3" x14ac:dyDescent="0.25">
      <c r="B227" s="24"/>
      <c r="C227" s="24"/>
    </row>
    <row r="228" spans="2:3" x14ac:dyDescent="0.25">
      <c r="B228" s="24"/>
      <c r="C228" s="24"/>
    </row>
    <row r="229" spans="2:3" x14ac:dyDescent="0.25">
      <c r="B229" s="24"/>
      <c r="C229" s="24"/>
    </row>
    <row r="230" spans="2:3" x14ac:dyDescent="0.25">
      <c r="B230" s="24"/>
      <c r="C230" s="24"/>
    </row>
    <row r="231" spans="2:3" x14ac:dyDescent="0.25">
      <c r="B231" s="24"/>
      <c r="C231" s="24"/>
    </row>
    <row r="232" spans="2:3" x14ac:dyDescent="0.25">
      <c r="B232" s="24"/>
      <c r="C232" s="24"/>
    </row>
    <row r="233" spans="2:3" x14ac:dyDescent="0.25">
      <c r="B233" s="24"/>
      <c r="C233" s="24"/>
    </row>
    <row r="234" spans="2:3" x14ac:dyDescent="0.25">
      <c r="B234" s="24"/>
      <c r="C234" s="24"/>
    </row>
    <row r="235" spans="2:3" x14ac:dyDescent="0.25">
      <c r="B235" s="24"/>
      <c r="C235" s="24"/>
    </row>
    <row r="236" spans="2:3" x14ac:dyDescent="0.25">
      <c r="B236" s="24"/>
      <c r="C236" s="24"/>
    </row>
    <row r="237" spans="2:3" x14ac:dyDescent="0.25">
      <c r="B237" s="24"/>
      <c r="C237" s="24"/>
    </row>
    <row r="238" spans="2:3" x14ac:dyDescent="0.25">
      <c r="B238" s="24"/>
      <c r="C238" s="24"/>
    </row>
    <row r="239" spans="2:3" x14ac:dyDescent="0.25">
      <c r="B239" s="24"/>
      <c r="C239" s="24"/>
    </row>
    <row r="240" spans="2:3" x14ac:dyDescent="0.25">
      <c r="B240" s="24"/>
      <c r="C240" s="24"/>
    </row>
    <row r="241" spans="2:3" x14ac:dyDescent="0.25">
      <c r="B241" s="24"/>
      <c r="C241" s="24"/>
    </row>
    <row r="242" spans="2:3" x14ac:dyDescent="0.25">
      <c r="B242" s="24"/>
      <c r="C242" s="24"/>
    </row>
    <row r="243" spans="2:3" x14ac:dyDescent="0.25">
      <c r="B243" s="24"/>
      <c r="C243" s="24"/>
    </row>
    <row r="244" spans="2:3" x14ac:dyDescent="0.25">
      <c r="B244" s="24"/>
      <c r="C244" s="24"/>
    </row>
    <row r="245" spans="2:3" x14ac:dyDescent="0.25">
      <c r="B245" s="24"/>
      <c r="C245" s="24"/>
    </row>
    <row r="246" spans="2:3" x14ac:dyDescent="0.25">
      <c r="B246" s="24"/>
      <c r="C246" s="24"/>
    </row>
    <row r="247" spans="2:3" x14ac:dyDescent="0.25">
      <c r="B247" s="24"/>
      <c r="C247" s="24"/>
    </row>
    <row r="248" spans="2:3" x14ac:dyDescent="0.25">
      <c r="B248" s="24"/>
      <c r="C248" s="24"/>
    </row>
    <row r="249" spans="2:3" x14ac:dyDescent="0.25">
      <c r="B249" s="24"/>
      <c r="C249" s="24"/>
    </row>
    <row r="250" spans="2:3" x14ac:dyDescent="0.25">
      <c r="B250" s="24"/>
      <c r="C250" s="24"/>
    </row>
    <row r="251" spans="2:3" x14ac:dyDescent="0.25">
      <c r="B251" s="24"/>
      <c r="C251" s="24"/>
    </row>
    <row r="252" spans="2:3" x14ac:dyDescent="0.25">
      <c r="B252" s="24"/>
      <c r="C252" s="24"/>
    </row>
    <row r="253" spans="2:3" x14ac:dyDescent="0.25">
      <c r="B253" s="24"/>
      <c r="C253" s="24"/>
    </row>
    <row r="254" spans="2:3" x14ac:dyDescent="0.25">
      <c r="B254" s="24"/>
      <c r="C254" s="24"/>
    </row>
    <row r="255" spans="2:3" x14ac:dyDescent="0.25">
      <c r="B255" s="24"/>
      <c r="C255" s="24"/>
    </row>
    <row r="256" spans="2:3" x14ac:dyDescent="0.25">
      <c r="B256" s="24"/>
      <c r="C256" s="24"/>
    </row>
  </sheetData>
  <autoFilter ref="A1:A256"/>
  <mergeCells count="7">
    <mergeCell ref="E25:I25"/>
    <mergeCell ref="E26:I26"/>
    <mergeCell ref="B2:C2"/>
    <mergeCell ref="B1:C1"/>
    <mergeCell ref="F17:J17"/>
    <mergeCell ref="E22:I22"/>
    <mergeCell ref="E23:I23"/>
  </mergeCells>
  <pageMargins left="0.7" right="0.7" top="0.75" bottom="0.75" header="0.3" footer="0.3"/>
  <pageSetup paperSize="9" orientation="portrait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2" ma:contentTypeDescription="Create a new document." ma:contentTypeScope="" ma:versionID="4061a8cd1540211dc7a64fbeb10a931a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3fa8d77d020b26dd482e94517b24c793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7239332C-374D-440B-9BAD-DFBA362B4221}"/>
</file>

<file path=customXml/itemProps2.xml><?xml version="1.0" encoding="utf-8"?>
<ds:datastoreItem xmlns:ds="http://schemas.openxmlformats.org/officeDocument/2006/customXml" ds:itemID="{9DB481B8-4E94-4ED1-998A-97E3F2995449}"/>
</file>

<file path=customXml/itemProps3.xml><?xml version="1.0" encoding="utf-8"?>
<ds:datastoreItem xmlns:ds="http://schemas.openxmlformats.org/officeDocument/2006/customXml" ds:itemID="{16F04DEA-440A-42B0-83C6-D58C88E17B7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4</dc:title>
  <dc:creator>Lawrence Rose</dc:creator>
  <cp:lastModifiedBy>Toby Arnott</cp:lastModifiedBy>
  <dcterms:created xsi:type="dcterms:W3CDTF">2010-01-18T19:09:29Z</dcterms:created>
  <dcterms:modified xsi:type="dcterms:W3CDTF">2016-09-06T11:06:03Z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